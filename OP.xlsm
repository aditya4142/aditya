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tur\OneDrive\Documents\"/>
    </mc:Choice>
  </mc:AlternateContent>
  <xr:revisionPtr revIDLastSave="0" documentId="13_ncr:1_{B2BD4C12-7C96-4252-99C3-1E8C2EBD7C04}" xr6:coauthVersionLast="47" xr6:coauthVersionMax="47" xr10:uidLastSave="{00000000-0000-0000-0000-000000000000}"/>
  <bookViews>
    <workbookView xWindow="-120" yWindow="-120" windowWidth="24240" windowHeight="13020" activeTab="6" xr2:uid="{08282029-3937-4EA6-A410-0016E054A530}"/>
  </bookViews>
  <sheets>
    <sheet name="Sheet2" sheetId="2" r:id="rId1"/>
    <sheet name="Sheet1" sheetId="1" r:id="rId2"/>
    <sheet name="Scenario Summary" sheetId="4" r:id="rId3"/>
    <sheet name="Sheet3" sheetId="3" r:id="rId4"/>
    <sheet name="Sheet4" sheetId="5" r:id="rId5"/>
    <sheet name="Sheet6" sheetId="7" r:id="rId6"/>
    <sheet name="Sheet7" sheetId="8" r:id="rId7"/>
    <sheet name="Sheet5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2" i="3" l="1"/>
  <c r="W32" i="3"/>
  <c r="Z32" i="3" s="1"/>
  <c r="S46" i="3"/>
  <c r="S30" i="3"/>
  <c r="S34" i="3"/>
  <c r="S42" i="3"/>
  <c r="S38" i="3"/>
  <c r="U24" i="3"/>
  <c r="U25" i="3"/>
  <c r="U26" i="3"/>
  <c r="U27" i="3"/>
  <c r="U23" i="3"/>
  <c r="X32" i="3" l="1"/>
  <c r="H26" i="3"/>
  <c r="D24" i="3" l="1"/>
  <c r="D32" i="3"/>
  <c r="C18" i="2" l="1"/>
  <c r="C19" i="2"/>
  <c r="C20" i="2"/>
  <c r="C21" i="2"/>
  <c r="I13" i="1"/>
  <c r="I12" i="1" s="1"/>
  <c r="I11" i="1"/>
  <c r="I10" i="1" s="1"/>
  <c r="I9" i="1" s="1"/>
  <c r="I8" i="1" s="1"/>
  <c r="I14" i="1"/>
  <c r="D21" i="2" l="1"/>
  <c r="E21" i="2"/>
  <c r="D20" i="2"/>
  <c r="E20" i="2"/>
  <c r="D19" i="2"/>
  <c r="D18" i="2"/>
  <c r="E18" i="2"/>
  <c r="E19" i="2"/>
</calcChain>
</file>

<file path=xl/sharedStrings.xml><?xml version="1.0" encoding="utf-8"?>
<sst xmlns="http://schemas.openxmlformats.org/spreadsheetml/2006/main" count="162" uniqueCount="97">
  <si>
    <t xml:space="preserve">    </t>
  </si>
  <si>
    <t>POPULATION OF JAPAN</t>
  </si>
  <si>
    <t>Japan - Historical Population Growth Rate Data</t>
  </si>
  <si>
    <t>Year</t>
  </si>
  <si>
    <t>Population Growth Rate</t>
  </si>
  <si>
    <t>Growth Rate</t>
  </si>
  <si>
    <t>Forecast(Population Growth Rate)</t>
  </si>
  <si>
    <t>Lower Confidence Bound(Population Growth Rate)</t>
  </si>
  <si>
    <t>Upper Confidence Bound(Population Growth Rate)</t>
  </si>
  <si>
    <t>DATA TABLE</t>
  </si>
  <si>
    <t>PRINCIPAL</t>
  </si>
  <si>
    <t>MONTHS</t>
  </si>
  <si>
    <t>ROI</t>
  </si>
  <si>
    <t>YEAR1</t>
  </si>
  <si>
    <t>YEAR2</t>
  </si>
  <si>
    <t>YEAR3</t>
  </si>
  <si>
    <t>YEAR4</t>
  </si>
  <si>
    <t>YEAR5</t>
  </si>
  <si>
    <t>S.NO</t>
  </si>
  <si>
    <t>EMPLOYER NAME</t>
  </si>
  <si>
    <t>HAPPY</t>
  </si>
  <si>
    <t>RAHUL</t>
  </si>
  <si>
    <t>PRACHI</t>
  </si>
  <si>
    <t>KAIRA</t>
  </si>
  <si>
    <t>RASHMITA</t>
  </si>
  <si>
    <t>HARSH</t>
  </si>
  <si>
    <t>SALES</t>
  </si>
  <si>
    <t>GRAND TOTAL</t>
  </si>
  <si>
    <t>$D$26</t>
  </si>
  <si>
    <t>$D$27</t>
  </si>
  <si>
    <t>$D$28</t>
  </si>
  <si>
    <t>$D$29</t>
  </si>
  <si>
    <t>$D$30</t>
  </si>
  <si>
    <t>$D$31</t>
  </si>
  <si>
    <t>$D$32</t>
  </si>
  <si>
    <t>DEC</t>
  </si>
  <si>
    <t>Created by Literacy India on 16-11-2023</t>
  </si>
  <si>
    <t>JAN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</si>
  <si>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</si>
  <si>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</si>
  <si>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</si>
  <si>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</si>
  <si>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</si>
  <si>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</si>
  <si>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</si>
  <si>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 xml:space="preserve"> </t>
  </si>
  <si>
    <t>PRODUCT</t>
  </si>
  <si>
    <t>QUANTITY</t>
  </si>
  <si>
    <t>PRICE</t>
  </si>
  <si>
    <t>ammount</t>
  </si>
  <si>
    <t>TV</t>
  </si>
  <si>
    <t>AC</t>
  </si>
  <si>
    <t>FREEZE</t>
  </si>
  <si>
    <t>WATCH</t>
  </si>
  <si>
    <t>COMPUTER</t>
  </si>
  <si>
    <t>D SUM</t>
  </si>
  <si>
    <t>D COUNT</t>
  </si>
  <si>
    <t>D MAX</t>
  </si>
  <si>
    <t>D AVERAGE</t>
  </si>
  <si>
    <t>D MINIMUM</t>
  </si>
  <si>
    <t>Student Name</t>
  </si>
  <si>
    <t>Father's Name</t>
  </si>
  <si>
    <t>Gender</t>
  </si>
  <si>
    <t>City</t>
  </si>
  <si>
    <t>State</t>
  </si>
  <si>
    <t>pin</t>
  </si>
  <si>
    <t>Contact No.</t>
  </si>
  <si>
    <t>:</t>
  </si>
  <si>
    <t>Addmission Date</t>
  </si>
  <si>
    <t>Course</t>
  </si>
  <si>
    <t>*</t>
  </si>
  <si>
    <t>student name</t>
  </si>
  <si>
    <t>father name</t>
  </si>
  <si>
    <t>gender</t>
  </si>
  <si>
    <t>city</t>
  </si>
  <si>
    <t>state</t>
  </si>
  <si>
    <t>contact</t>
  </si>
  <si>
    <t>happy</t>
  </si>
  <si>
    <t>suraj</t>
  </si>
  <si>
    <t>aman</t>
  </si>
  <si>
    <t>mohit</t>
  </si>
  <si>
    <t>shivam</t>
  </si>
  <si>
    <t xml:space="preserve">           </t>
  </si>
  <si>
    <t>Delhi</t>
  </si>
  <si>
    <t>Student record</t>
  </si>
  <si>
    <t>Name</t>
  </si>
  <si>
    <t>Class</t>
  </si>
  <si>
    <t>Roll No.</t>
  </si>
  <si>
    <t>Mather's Name</t>
  </si>
  <si>
    <t>Aman</t>
  </si>
  <si>
    <t xml:space="preserve"> Prakash Singh</t>
  </si>
  <si>
    <t>Mina Devi</t>
  </si>
  <si>
    <t>devanand prashad</t>
  </si>
  <si>
    <t>rita devi</t>
  </si>
  <si>
    <t>vinay</t>
  </si>
  <si>
    <t>ram prakash</t>
  </si>
  <si>
    <t>mina devi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</si>
</sst>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8" formatCode="&quot;₹&quot;\ #,##0.00;[Red]&quot;₹&quot;\ \-#,##0.00"/>
  </numFmts>
  <fonts count="24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2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44444"/>
      <name val="Arial"/>
      <family val="2"/>
    </font>
    <font>
      <b/>
      <sz val="12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i/>
      <sz val="22"/>
      <color rgb="FFFF000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 style="medium">
        <color rgb="FFDDDDDD"/>
      </right>
      <top/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thick">
        <color rgb="FFDDDDDD"/>
      </bottom>
      <diagonal/>
    </border>
    <border>
      <left/>
      <right/>
      <top style="medium">
        <color rgb="FFDDDDDD"/>
      </top>
      <bottom style="thick">
        <color rgb="FFDDDDDD"/>
      </bottom>
      <diagonal/>
    </border>
    <border>
      <left/>
      <right style="medium">
        <color rgb="FFDDDDDD"/>
      </right>
      <top style="medium">
        <color rgb="FFDDDDDD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3" fontId="0" fillId="0" borderId="0" xfId="0" applyNumberFormat="1"/>
    <xf numFmtId="0" fontId="5" fillId="3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3" fontId="5" fillId="3" borderId="2" xfId="0" applyNumberFormat="1" applyFont="1" applyFill="1" applyBorder="1" applyAlignment="1">
      <alignment horizontal="center" vertical="center" wrapText="1"/>
    </xf>
    <xf numFmtId="3" fontId="5" fillId="0" borderId="2" xfId="0" applyNumberFormat="1" applyFont="1" applyBorder="1" applyAlignment="1">
      <alignment horizontal="center" vertical="center" wrapText="1"/>
    </xf>
    <xf numFmtId="10" fontId="5" fillId="3" borderId="2" xfId="0" applyNumberFormat="1" applyFont="1" applyFill="1" applyBorder="1" applyAlignment="1">
      <alignment horizontal="center" vertical="center" wrapText="1"/>
    </xf>
    <xf numFmtId="10" fontId="5" fillId="0" borderId="2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6" xfId="0" applyFont="1" applyBorder="1" applyAlignment="1">
      <alignment horizontal="center" vertical="center" wrapText="1"/>
    </xf>
    <xf numFmtId="3" fontId="5" fillId="0" borderId="6" xfId="0" applyNumberFormat="1" applyFont="1" applyBorder="1" applyAlignment="1">
      <alignment horizontal="center" vertical="center" wrapText="1"/>
    </xf>
    <xf numFmtId="10" fontId="5" fillId="0" borderId="6" xfId="0" applyNumberFormat="1" applyFont="1" applyBorder="1" applyAlignment="1">
      <alignment horizontal="center" vertical="center" wrapText="1"/>
    </xf>
    <xf numFmtId="0" fontId="4" fillId="0" borderId="0" xfId="0" applyFont="1"/>
    <xf numFmtId="9" fontId="4" fillId="0" borderId="0" xfId="0" applyNumberFormat="1" applyFont="1"/>
    <xf numFmtId="0" fontId="0" fillId="0" borderId="0" xfId="0" applyAlignment="1">
      <alignment horizontal="right"/>
    </xf>
    <xf numFmtId="8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0" borderId="15" xfId="0" applyBorder="1"/>
    <xf numFmtId="0" fontId="9" fillId="7" borderId="13" xfId="0" applyFont="1" applyFill="1" applyBorder="1" applyAlignment="1">
      <alignment horizontal="left"/>
    </xf>
    <xf numFmtId="0" fontId="9" fillId="7" borderId="14" xfId="0" applyFont="1" applyFill="1" applyBorder="1" applyAlignment="1">
      <alignment horizontal="left"/>
    </xf>
    <xf numFmtId="0" fontId="0" fillId="0" borderId="16" xfId="0" applyBorder="1"/>
    <xf numFmtId="0" fontId="10" fillId="8" borderId="0" xfId="0" applyFont="1" applyFill="1" applyAlignment="1">
      <alignment horizontal="left"/>
    </xf>
    <xf numFmtId="0" fontId="11" fillId="8" borderId="16" xfId="0" applyFont="1" applyFill="1" applyBorder="1" applyAlignment="1">
      <alignment horizontal="left"/>
    </xf>
    <xf numFmtId="0" fontId="10" fillId="8" borderId="15" xfId="0" applyFont="1" applyFill="1" applyBorder="1" applyAlignment="1">
      <alignment horizontal="left"/>
    </xf>
    <xf numFmtId="0" fontId="12" fillId="7" borderId="14" xfId="0" applyFont="1" applyFill="1" applyBorder="1" applyAlignment="1">
      <alignment horizontal="right"/>
    </xf>
    <xf numFmtId="0" fontId="12" fillId="7" borderId="13" xfId="0" applyFont="1" applyFill="1" applyBorder="1" applyAlignment="1">
      <alignment horizontal="right"/>
    </xf>
    <xf numFmtId="0" fontId="0" fillId="9" borderId="0" xfId="0" applyFill="1"/>
    <xf numFmtId="0" fontId="13" fillId="0" borderId="0" xfId="0" applyFont="1" applyAlignment="1">
      <alignment vertical="top" wrapText="1"/>
    </xf>
    <xf numFmtId="0" fontId="14" fillId="10" borderId="7" xfId="0" applyFont="1" applyFill="1" applyBorder="1"/>
    <xf numFmtId="0" fontId="4" fillId="4" borderId="7" xfId="0" applyFont="1" applyFill="1" applyBorder="1"/>
    <xf numFmtId="9" fontId="4" fillId="4" borderId="7" xfId="0" applyNumberFormat="1" applyFont="1" applyFill="1" applyBorder="1"/>
    <xf numFmtId="0" fontId="0" fillId="6" borderId="7" xfId="0" applyFill="1" applyBorder="1" applyAlignment="1">
      <alignment horizontal="right"/>
    </xf>
    <xf numFmtId="6" fontId="0" fillId="5" borderId="7" xfId="0" applyNumberFormat="1" applyFill="1" applyBorder="1"/>
    <xf numFmtId="14" fontId="0" fillId="0" borderId="0" xfId="0" applyNumberFormat="1"/>
    <xf numFmtId="0" fontId="15" fillId="11" borderId="7" xfId="0" applyFont="1" applyFill="1" applyBorder="1"/>
    <xf numFmtId="0" fontId="8" fillId="2" borderId="11" xfId="0" applyFont="1" applyFill="1" applyBorder="1"/>
    <xf numFmtId="0" fontId="8" fillId="2" borderId="12" xfId="0" applyFont="1" applyFill="1" applyBorder="1"/>
    <xf numFmtId="0" fontId="8" fillId="2" borderId="0" xfId="0" applyFont="1" applyFill="1"/>
    <xf numFmtId="0" fontId="4" fillId="12" borderId="7" xfId="0" applyFont="1" applyFill="1" applyBorder="1"/>
    <xf numFmtId="0" fontId="4" fillId="0" borderId="7" xfId="0" applyFont="1" applyBorder="1"/>
    <xf numFmtId="0" fontId="6" fillId="13" borderId="20" xfId="0" applyFont="1" applyFill="1" applyBorder="1" applyAlignment="1">
      <alignment horizontal="left" vertical="center"/>
    </xf>
    <xf numFmtId="0" fontId="18" fillId="13" borderId="14" xfId="0" applyFont="1" applyFill="1" applyBorder="1" applyAlignment="1">
      <alignment horizontal="left" vertical="center"/>
    </xf>
    <xf numFmtId="0" fontId="17" fillId="13" borderId="14" xfId="0" applyFont="1" applyFill="1" applyBorder="1"/>
    <xf numFmtId="0" fontId="0" fillId="13" borderId="14" xfId="0" applyFill="1" applyBorder="1"/>
    <xf numFmtId="0" fontId="6" fillId="13" borderId="14" xfId="0" applyFont="1" applyFill="1" applyBorder="1" applyAlignment="1">
      <alignment horizontal="left" vertical="center"/>
    </xf>
    <xf numFmtId="0" fontId="17" fillId="13" borderId="21" xfId="0" applyFont="1" applyFill="1" applyBorder="1"/>
    <xf numFmtId="0" fontId="20" fillId="13" borderId="22" xfId="0" applyFont="1" applyFill="1" applyBorder="1" applyAlignment="1">
      <alignment horizontal="left" vertical="center"/>
    </xf>
    <xf numFmtId="0" fontId="17" fillId="13" borderId="23" xfId="0" applyFont="1" applyFill="1" applyBorder="1"/>
    <xf numFmtId="0" fontId="6" fillId="13" borderId="22" xfId="0" applyFont="1" applyFill="1" applyBorder="1" applyAlignment="1">
      <alignment horizontal="left" vertical="center"/>
    </xf>
    <xf numFmtId="0" fontId="0" fillId="13" borderId="23" xfId="0" applyFill="1" applyBorder="1"/>
    <xf numFmtId="0" fontId="6" fillId="13" borderId="24" xfId="0" applyFont="1" applyFill="1" applyBorder="1" applyAlignment="1">
      <alignment horizontal="left" vertical="center"/>
    </xf>
    <xf numFmtId="0" fontId="18" fillId="13" borderId="15" xfId="0" applyFont="1" applyFill="1" applyBorder="1" applyAlignment="1">
      <alignment horizontal="left" vertical="center"/>
    </xf>
    <xf numFmtId="0" fontId="17" fillId="13" borderId="15" xfId="0" applyFont="1" applyFill="1" applyBorder="1"/>
    <xf numFmtId="0" fontId="0" fillId="13" borderId="15" xfId="0" applyFill="1" applyBorder="1"/>
    <xf numFmtId="0" fontId="0" fillId="13" borderId="25" xfId="0" applyFill="1" applyBorder="1"/>
    <xf numFmtId="0" fontId="0" fillId="12" borderId="19" xfId="0" applyFill="1" applyBorder="1"/>
    <xf numFmtId="0" fontId="21" fillId="12" borderId="19" xfId="0" applyFont="1" applyFill="1" applyBorder="1" applyAlignment="1">
      <alignment horizontal="center" vertical="center"/>
    </xf>
    <xf numFmtId="0" fontId="0" fillId="13" borderId="0" xfId="0" applyFill="1"/>
    <xf numFmtId="0" fontId="18" fillId="13" borderId="0" xfId="0" applyFont="1" applyFill="1" applyAlignment="1">
      <alignment horizontal="left" vertical="center"/>
    </xf>
    <xf numFmtId="0" fontId="17" fillId="13" borderId="0" xfId="0" applyFont="1" applyFill="1"/>
    <xf numFmtId="0" fontId="6" fillId="13" borderId="0" xfId="0" applyFont="1" applyFill="1" applyAlignment="1">
      <alignment horizontal="left" vertical="center"/>
    </xf>
    <xf numFmtId="0" fontId="0" fillId="0" borderId="23" xfId="0" applyBorder="1"/>
    <xf numFmtId="0" fontId="19" fillId="12" borderId="19" xfId="0" applyFont="1" applyFill="1" applyBorder="1"/>
    <xf numFmtId="0" fontId="18" fillId="4" borderId="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0" borderId="3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7" fillId="0" borderId="0" xfId="0" applyFont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16" fillId="2" borderId="7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23" fillId="4" borderId="7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44444"/>
        <name val="Arial"/>
        <family val="2"/>
        <scheme val="none"/>
      </font>
      <numFmt numFmtId="14" formatCode="0.00%"/>
      <alignment horizontal="center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44444"/>
        <name val="Arial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44444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rgb="FFDDDDDD"/>
        </left>
        <right style="medium">
          <color rgb="FFDDDDDD"/>
        </right>
        <top style="medium">
          <color rgb="FFDDDDDD"/>
        </top>
        <bottom style="medium">
          <color rgb="FFDDDDDD"/>
        </bottom>
        <vertical/>
        <horizontal/>
      </border>
    </dxf>
    <dxf>
      <border outline="0">
        <top style="medium">
          <color rgb="FFDDDDDD"/>
        </top>
        <bottom style="medium">
          <color rgb="FFDDDDDD"/>
        </bottom>
      </border>
    </dxf>
    <dxf>
      <border outline="0">
        <bottom style="thick">
          <color rgb="FFDDDDD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44444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DDDDD"/>
        </left>
        <right style="medium">
          <color rgb="FFDDDDDD"/>
        </right>
        <top/>
        <bottom/>
      </border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Population Growth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Sheet2!$B$2:$B$21</c:f>
              <c:numCache>
                <c:formatCode>#,##0</c:formatCode>
                <c:ptCount val="20"/>
                <c:pt idx="0">
                  <c:v>127476735</c:v>
                </c:pt>
                <c:pt idx="1">
                  <c:v>127250933</c:v>
                </c:pt>
                <c:pt idx="2">
                  <c:v>126993857</c:v>
                </c:pt>
                <c:pt idx="3">
                  <c:v>126662472</c:v>
                </c:pt>
                <c:pt idx="4">
                  <c:v>126255866</c:v>
                </c:pt>
                <c:pt idx="5">
                  <c:v>125791677</c:v>
                </c:pt>
                <c:pt idx="6">
                  <c:v>125244761</c:v>
                </c:pt>
                <c:pt idx="7">
                  <c:v>124612530</c:v>
                </c:pt>
                <c:pt idx="8">
                  <c:v>123951692</c:v>
                </c:pt>
                <c:pt idx="9">
                  <c:v>123294594.68949959</c:v>
                </c:pt>
                <c:pt idx="10">
                  <c:v>122637421.07826023</c:v>
                </c:pt>
                <c:pt idx="11">
                  <c:v>121980247.46651056</c:v>
                </c:pt>
                <c:pt idx="12">
                  <c:v>121323073.8543081</c:v>
                </c:pt>
                <c:pt idx="13">
                  <c:v>120694778.5511578</c:v>
                </c:pt>
                <c:pt idx="14">
                  <c:v>120047738.91603658</c:v>
                </c:pt>
                <c:pt idx="15">
                  <c:v>119381578.26808831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4-44D3-9F35-3D5C678C932C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Forecast(Population Growth Rate)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Sheet2!$A$2:$A$21</c:f>
              <c:numCache>
                <c:formatCode>General</c:formatCode>
                <c:ptCount val="2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  <c:pt idx="17">
                  <c:v>2031</c:v>
                </c:pt>
                <c:pt idx="18">
                  <c:v>2032</c:v>
                </c:pt>
                <c:pt idx="19">
                  <c:v>2033</c:v>
                </c:pt>
              </c:numCache>
            </c:numRef>
          </c:cat>
          <c:val>
            <c:numRef>
              <c:f>Sheet2!$C$2:$C$21</c:f>
              <c:numCache>
                <c:formatCode>General</c:formatCode>
                <c:ptCount val="20"/>
                <c:pt idx="15" formatCode="#,##0">
                  <c:v>119381578.26808831</c:v>
                </c:pt>
                <c:pt idx="16" formatCode="#,##0">
                  <c:v>118717528.79617052</c:v>
                </c:pt>
                <c:pt idx="17" formatCode="#,##0">
                  <c:v>118053437.71812139</c:v>
                </c:pt>
                <c:pt idx="18" formatCode="#,##0">
                  <c:v>117389346.64007229</c:v>
                </c:pt>
                <c:pt idx="19" formatCode="#,##0">
                  <c:v>116725255.56202316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4-44D3-9F35-3D5C678C932C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Lower Confidence Bound(Population Growth Rate)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Sheet2!$A$2:$A$21</c:f>
              <c:numCache>
                <c:formatCode>General</c:formatCode>
                <c:ptCount val="2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  <c:pt idx="17">
                  <c:v>2031</c:v>
                </c:pt>
                <c:pt idx="18">
                  <c:v>2032</c:v>
                </c:pt>
                <c:pt idx="19">
                  <c:v>2033</c:v>
                </c:pt>
              </c:numCache>
            </c:numRef>
          </c:cat>
          <c:val>
            <c:numRef>
              <c:f>Sheet2!$D$2:$D$21</c:f>
              <c:numCache>
                <c:formatCode>General</c:formatCode>
                <c:ptCount val="20"/>
                <c:pt idx="15" formatCode="#,##0">
                  <c:v>119381578.26808831</c:v>
                </c:pt>
                <c:pt idx="16" formatCode="#,##0">
                  <c:v>118526400.24438635</c:v>
                </c:pt>
                <c:pt idx="17" formatCode="#,##0">
                  <c:v>117643574.62657593</c:v>
                </c:pt>
                <c:pt idx="18" formatCode="#,##0">
                  <c:v>116715873.38131669</c:v>
                </c:pt>
                <c:pt idx="19" formatCode="#,##0">
                  <c:v>115749390.34744485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74-44D3-9F35-3D5C678C932C}"/>
            </c:ext>
          </c:extLst>
        </c:ser>
        <c:ser>
          <c:idx val="3"/>
          <c:order val="3"/>
          <c:tx>
            <c:strRef>
              <c:f>Sheet2!$E$1</c:f>
              <c:strCache>
                <c:ptCount val="1"/>
                <c:pt idx="0">
                  <c:v>Upper Confidence Bound(Population Growth Rate)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Sheet2!$A$2:$A$21</c:f>
              <c:numCache>
                <c:formatCode>General</c:formatCode>
                <c:ptCount val="20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  <c:pt idx="17">
                  <c:v>2031</c:v>
                </c:pt>
                <c:pt idx="18">
                  <c:v>2032</c:v>
                </c:pt>
                <c:pt idx="19">
                  <c:v>2033</c:v>
                </c:pt>
              </c:numCache>
            </c:numRef>
          </c:cat>
          <c:val>
            <c:numRef>
              <c:f>Sheet2!$E$2:$E$21</c:f>
              <c:numCache>
                <c:formatCode>General</c:formatCode>
                <c:ptCount val="20"/>
                <c:pt idx="15" formatCode="#,##0">
                  <c:v>119381578.26808831</c:v>
                </c:pt>
                <c:pt idx="16" formatCode="#,##0">
                  <c:v>118908657.34795469</c:v>
                </c:pt>
                <c:pt idx="17" formatCode="#,##0">
                  <c:v>118463300.80966686</c:v>
                </c:pt>
                <c:pt idx="18" formatCode="#,##0">
                  <c:v>118062819.89882788</c:v>
                </c:pt>
                <c:pt idx="19" formatCode="#,##0">
                  <c:v>117701120.77660148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74-44D3-9F35-3D5C678C9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632031"/>
        <c:axId val="2018097759"/>
      </c:lineChart>
      <c:catAx>
        <c:axId val="110963203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097759"/>
        <c:crosses val="autoZero"/>
        <c:auto val="1"/>
        <c:lblAlgn val="ctr"/>
        <c:lblOffset val="100"/>
        <c:noMultiLvlLbl val="0"/>
      </c:catAx>
      <c:valAx>
        <c:axId val="201809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63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</xdr:row>
      <xdr:rowOff>85725</xdr:rowOff>
    </xdr:from>
    <xdr:to>
      <xdr:col>4</xdr:col>
      <xdr:colOff>2990850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188516</xdr:colOff>
      <xdr:row>5</xdr:row>
      <xdr:rowOff>396875</xdr:rowOff>
    </xdr:from>
    <xdr:to>
      <xdr:col>17</xdr:col>
      <xdr:colOff>198438</xdr:colOff>
      <xdr:row>7</xdr:row>
      <xdr:rowOff>168672</xdr:rowOff>
    </xdr:to>
    <xdr:sp macro="[0]!Oval3_Click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427891" y="1349375"/>
          <a:ext cx="1825625" cy="585391"/>
        </a:xfrm>
        <a:prstGeom prst="ellipse">
          <a:avLst/>
        </a:prstGeom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>
              <a:solidFill>
                <a:srgbClr val="FF0000"/>
              </a:solidFill>
            </a:rPr>
            <a:t>show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66675</xdr:rowOff>
        </xdr:from>
        <xdr:to>
          <xdr:col>3</xdr:col>
          <xdr:colOff>1304925</xdr:colOff>
          <xdr:row>5</xdr:row>
          <xdr:rowOff>266700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2143125</xdr:colOff>
          <xdr:row>5</xdr:row>
          <xdr:rowOff>38100</xdr:rowOff>
        </xdr:from>
        <xdr:to>
          <xdr:col>3</xdr:col>
          <xdr:colOff>3324225</xdr:colOff>
          <xdr:row>5</xdr:row>
          <xdr:rowOff>276225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66675</xdr:rowOff>
        </xdr:from>
        <xdr:to>
          <xdr:col>5</xdr:col>
          <xdr:colOff>85725</xdr:colOff>
          <xdr:row>8</xdr:row>
          <xdr:rowOff>19050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9</xdr:row>
      <xdr:rowOff>114300</xdr:rowOff>
    </xdr:from>
    <xdr:to>
      <xdr:col>1</xdr:col>
      <xdr:colOff>1971675</xdr:colOff>
      <xdr:row>13</xdr:row>
      <xdr:rowOff>19050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438275" y="3267075"/>
          <a:ext cx="1933575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000" strike="noStrike" baseline="0">
              <a:solidFill>
                <a:srgbClr val="FF0000"/>
              </a:solidFill>
            </a:rPr>
            <a:t>submit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5390B5-89CB-416D-8DB8-8E020EBEC6ED}" name="Table2" displayName="Table2" ref="A1:E21" totalsRowShown="0">
  <autoFilter ref="A1:E21" xr:uid="{9E5390B5-89CB-416D-8DB8-8E020EBEC6ED}"/>
  <tableColumns count="5">
    <tableColumn id="1" xr3:uid="{EDDC899D-C10D-41A4-A93C-B5D87C8C5376}" name="Year"/>
    <tableColumn id="2" xr3:uid="{63AA7F89-5B05-4C68-89C0-A626BD2F2F5A}" name="Population Growth Rate"/>
    <tableColumn id="3" xr3:uid="{5832C4CC-F931-492D-9050-EF31F5FAD0EC}" name="Forecast(Population Growth Rate)" dataDxfId="8">
      <calculatedColumnFormula>_xlfn.FORECAST.ETS(A2,$B$2:$B$17,$A$2:$A$17,1,1)</calculatedColumnFormula>
    </tableColumn>
    <tableColumn id="4" xr3:uid="{14EA4522-C8E4-4CE5-83E9-85A8993E1F16}" name="Lower Confidence Bound(Population Growth Rate)" dataDxfId="7">
      <calculatedColumnFormula>C2-_xlfn.FORECAST.ETS.CONFINT(A2,$B$2:$B$17,$A$2:$A$17,0.95,1,1)</calculatedColumnFormula>
    </tableColumn>
    <tableColumn id="5" xr3:uid="{1CD50EDB-F3E4-41A1-8FBE-606146DE78A7}" name="Upper Confidence Bound(Population Growth Rate)" dataDxfId="6">
      <calculatedColumnFormula>C2+_xlfn.FORECAST.ETS.CONFINT(A2,$B$2:$B$17,$A$2:$A$17,0.95,1,1)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C40287-2120-4CF5-A03E-4CCB9D2E10A5}" name="Table1" displayName="Table1" ref="H7:J23" totalsRowShown="0" headerRowDxfId="5" headerRowBorderDxfId="4" tableBorderDxfId="3">
  <autoFilter ref="H7:J23" xr:uid="{09C40287-2120-4CF5-A03E-4CCB9D2E10A5}"/>
  <tableColumns count="3">
    <tableColumn id="1" xr3:uid="{792261F1-2596-4EFD-B33B-F7CEA765ED7F}" name="Year" dataDxfId="2"/>
    <tableColumn id="2" xr3:uid="{D3BA3F55-C395-41A3-985E-406E21E7AEDF}" name="Population Growth Rate" dataDxfId="1"/>
    <tableColumn id="3" xr3:uid="{A425D1C4-2B2B-4BF0-BB58-ED66AD7AD2B3}" name="Growth Rate" dataDxfId="0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elestial">
  <a:themeElements>
    <a:clrScheme name="Celestial">
      <a:dk1>
        <a:sysClr val="windowText" lastClr="000000"/>
      </a:dk1>
      <a:lt1>
        <a:sysClr val="window" lastClr="FFFFFF"/>
      </a:lt1>
      <a:dk2>
        <a:srgbClr val="18276C"/>
      </a:dk2>
      <a:lt2>
        <a:srgbClr val="EBEBEB"/>
      </a:lt2>
      <a:accent1>
        <a:srgbClr val="AC3EC1"/>
      </a:accent1>
      <a:accent2>
        <a:srgbClr val="477BD1"/>
      </a:accent2>
      <a:accent3>
        <a:srgbClr val="46B298"/>
      </a:accent3>
      <a:accent4>
        <a:srgbClr val="90BA4C"/>
      </a:accent4>
      <a:accent5>
        <a:srgbClr val="DD9D31"/>
      </a:accent5>
      <a:accent6>
        <a:srgbClr val="E25247"/>
      </a:accent6>
      <a:hlink>
        <a:srgbClr val="C573D2"/>
      </a:hlink>
      <a:folHlink>
        <a:srgbClr val="CCAEE8"/>
      </a:folHlink>
    </a:clrScheme>
    <a:fontScheme name="Celestial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elestial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82000"/>
                <a:alpha val="7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00000"/>
              </a:schemeClr>
            </a:gs>
            <a:gs pos="100000">
              <a:schemeClr val="phClr">
                <a:shade val="88000"/>
                <a:lumMod val="88000"/>
              </a:schemeClr>
            </a:gs>
          </a:gsLst>
          <a:lin ang="5400000" scaled="1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6000"/>
                <a:hueMod val="100000"/>
                <a:satMod val="180000"/>
                <a:lumMod val="110000"/>
              </a:schemeClr>
            </a:gs>
            <a:gs pos="100000">
              <a:schemeClr val="phClr">
                <a:shade val="96000"/>
                <a:satMod val="160000"/>
                <a:lumMod val="100000"/>
              </a:schemeClr>
            </a:gs>
          </a:gsLst>
          <a:lin ang="4740000" scaled="1"/>
        </a:gradFill>
        <a:blipFill>
          <a:blip xmlns:r="http://schemas.openxmlformats.org/officeDocument/2006/relationships" r:embed="rId1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elestial" id="{C4BB2A3D-0E93-4C5F-B0D2-9D3FCE089CC5}" vid="{42E5908D-19A2-46FD-89FA-638B126129E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02694-B463-441C-A163-7AC803AFA272}">
  <sheetPr codeName="Sheet1"/>
  <dimension ref="A1:E21"/>
  <sheetViews>
    <sheetView workbookViewId="0">
      <selection activeCell="B26" sqref="B26"/>
    </sheetView>
  </sheetViews>
  <sheetFormatPr defaultRowHeight="15" x14ac:dyDescent="0.25"/>
  <cols>
    <col min="1" max="1" width="9.28515625" bestFit="1" customWidth="1"/>
    <col min="2" max="2" width="24.42578125" customWidth="1"/>
    <col min="3" max="3" width="33.28515625" customWidth="1"/>
    <col min="4" max="4" width="48" customWidth="1"/>
    <col min="5" max="5" width="48.140625" customWidth="1"/>
  </cols>
  <sheetData>
    <row r="1" spans="1:5" x14ac:dyDescent="0.25">
      <c r="A1" t="s">
        <v>3</v>
      </c>
      <c r="B1" t="s">
        <v>4</v>
      </c>
      <c r="C1" t="s">
        <v>6</v>
      </c>
      <c r="D1" t="s">
        <v>7</v>
      </c>
      <c r="E1" t="s">
        <v>8</v>
      </c>
    </row>
    <row r="2" spans="1:5" x14ac:dyDescent="0.25">
      <c r="A2">
        <v>2014</v>
      </c>
      <c r="B2" s="2">
        <v>127476735</v>
      </c>
    </row>
    <row r="3" spans="1:5" x14ac:dyDescent="0.25">
      <c r="A3">
        <v>2015</v>
      </c>
      <c r="B3" s="2">
        <v>127250933</v>
      </c>
    </row>
    <row r="4" spans="1:5" x14ac:dyDescent="0.25">
      <c r="A4">
        <v>2016</v>
      </c>
      <c r="B4" s="2">
        <v>126993857</v>
      </c>
    </row>
    <row r="5" spans="1:5" x14ac:dyDescent="0.25">
      <c r="A5">
        <v>2017</v>
      </c>
      <c r="B5" s="2">
        <v>126662472</v>
      </c>
    </row>
    <row r="6" spans="1:5" x14ac:dyDescent="0.25">
      <c r="A6">
        <v>2018</v>
      </c>
      <c r="B6" s="2">
        <v>126255866</v>
      </c>
    </row>
    <row r="7" spans="1:5" x14ac:dyDescent="0.25">
      <c r="A7">
        <v>2019</v>
      </c>
      <c r="B7" s="2">
        <v>125791677</v>
      </c>
    </row>
    <row r="8" spans="1:5" x14ac:dyDescent="0.25">
      <c r="A8">
        <v>2020</v>
      </c>
      <c r="B8" s="2">
        <v>125244761</v>
      </c>
    </row>
    <row r="9" spans="1:5" x14ac:dyDescent="0.25">
      <c r="A9">
        <v>2021</v>
      </c>
      <c r="B9" s="2">
        <v>124612530</v>
      </c>
    </row>
    <row r="10" spans="1:5" x14ac:dyDescent="0.25">
      <c r="A10">
        <v>2022</v>
      </c>
      <c r="B10" s="2">
        <v>123951692</v>
      </c>
    </row>
    <row r="11" spans="1:5" x14ac:dyDescent="0.25">
      <c r="A11">
        <v>2023</v>
      </c>
      <c r="B11" s="2">
        <v>123294594.68949959</v>
      </c>
    </row>
    <row r="12" spans="1:5" x14ac:dyDescent="0.25">
      <c r="A12">
        <v>2024</v>
      </c>
      <c r="B12" s="2">
        <v>122637421.07826023</v>
      </c>
    </row>
    <row r="13" spans="1:5" x14ac:dyDescent="0.25">
      <c r="A13">
        <v>2025</v>
      </c>
      <c r="B13" s="2">
        <v>121980247.46651056</v>
      </c>
    </row>
    <row r="14" spans="1:5" x14ac:dyDescent="0.25">
      <c r="A14">
        <v>2026</v>
      </c>
      <c r="B14" s="2">
        <v>121323073.8543081</v>
      </c>
    </row>
    <row r="15" spans="1:5" x14ac:dyDescent="0.25">
      <c r="A15">
        <v>2027</v>
      </c>
      <c r="B15" s="2">
        <v>120694778.5511578</v>
      </c>
    </row>
    <row r="16" spans="1:5" x14ac:dyDescent="0.25">
      <c r="A16">
        <v>2028</v>
      </c>
      <c r="B16" s="2">
        <v>120047738.91603658</v>
      </c>
    </row>
    <row r="17" spans="1:5" x14ac:dyDescent="0.25">
      <c r="A17">
        <v>2029</v>
      </c>
      <c r="B17" s="2">
        <v>119381578.26808831</v>
      </c>
      <c r="C17" s="2">
        <v>119381578.26808831</v>
      </c>
      <c r="D17" s="2">
        <v>119381578.26808831</v>
      </c>
      <c r="E17" s="2">
        <v>119381578.26808831</v>
      </c>
    </row>
    <row r="18" spans="1:5" x14ac:dyDescent="0.25">
      <c r="A18">
        <v>2030</v>
      </c>
      <c r="C18" s="2">
        <f>_xlfn.FORECAST.ETS(A18,$B$2:$B$17,$A$2:$A$17,1,1)</f>
        <v>118717528.79617052</v>
      </c>
      <c r="D18" s="2">
        <f>C18-_xlfn.FORECAST.ETS.CONFINT(A18,$B$2:$B$17,$A$2:$A$17,0.95,1,1)</f>
        <v>118526400.24438635</v>
      </c>
      <c r="E18" s="2">
        <f>C18+_xlfn.FORECAST.ETS.CONFINT(A18,$B$2:$B$17,$A$2:$A$17,0.95,1,1)</f>
        <v>118908657.34795469</v>
      </c>
    </row>
    <row r="19" spans="1:5" x14ac:dyDescent="0.25">
      <c r="A19">
        <v>2031</v>
      </c>
      <c r="C19" s="2">
        <f>_xlfn.FORECAST.ETS(A19,$B$2:$B$17,$A$2:$A$17,1,1)</f>
        <v>118053437.71812139</v>
      </c>
      <c r="D19" s="2">
        <f>C19-_xlfn.FORECAST.ETS.CONFINT(A19,$B$2:$B$17,$A$2:$A$17,0.95,1,1)</f>
        <v>117643574.62657593</v>
      </c>
      <c r="E19" s="2">
        <f>C19+_xlfn.FORECAST.ETS.CONFINT(A19,$B$2:$B$17,$A$2:$A$17,0.95,1,1)</f>
        <v>118463300.80966686</v>
      </c>
    </row>
    <row r="20" spans="1:5" x14ac:dyDescent="0.25">
      <c r="A20">
        <v>2032</v>
      </c>
      <c r="C20" s="2">
        <f>_xlfn.FORECAST.ETS(A20,$B$2:$B$17,$A$2:$A$17,1,1)</f>
        <v>117389346.64007229</v>
      </c>
      <c r="D20" s="2">
        <f>C20-_xlfn.FORECAST.ETS.CONFINT(A20,$B$2:$B$17,$A$2:$A$17,0.95,1,1)</f>
        <v>116715873.38131669</v>
      </c>
      <c r="E20" s="2">
        <f>C20+_xlfn.FORECAST.ETS.CONFINT(A20,$B$2:$B$17,$A$2:$A$17,0.95,1,1)</f>
        <v>118062819.89882788</v>
      </c>
    </row>
    <row r="21" spans="1:5" x14ac:dyDescent="0.25">
      <c r="A21">
        <v>2033</v>
      </c>
      <c r="C21" s="2">
        <f>_xlfn.FORECAST.ETS(A21,$B$2:$B$17,$A$2:$A$17,1,1)</f>
        <v>116725255.56202316</v>
      </c>
      <c r="D21" s="2">
        <f>C21-_xlfn.FORECAST.ETS.CONFINT(A21,$B$2:$B$17,$A$2:$A$17,0.95,1,1)</f>
        <v>115749390.34744485</v>
      </c>
      <c r="E21" s="2">
        <f>C21+_xlfn.FORECAST.ETS.CONFINT(A21,$B$2:$B$17,$A$2:$A$17,0.95,1,1)</f>
        <v>117701120.77660148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B09E-503D-44ED-806F-BADC332D9B75}">
  <sheetPr codeName="Sheet2"/>
  <dimension ref="F1:L23"/>
  <sheetViews>
    <sheetView topLeftCell="A6" zoomScale="96" zoomScaleNormal="96" workbookViewId="0">
      <selection activeCell="I13" sqref="I13"/>
    </sheetView>
  </sheetViews>
  <sheetFormatPr defaultRowHeight="15" x14ac:dyDescent="0.25"/>
  <cols>
    <col min="8" max="8" width="9.140625" customWidth="1"/>
    <col min="9" max="9" width="28.28515625" customWidth="1"/>
    <col min="10" max="10" width="16.42578125" customWidth="1"/>
  </cols>
  <sheetData>
    <row r="1" spans="6:12" ht="15" customHeight="1" x14ac:dyDescent="0.55000000000000004">
      <c r="F1" s="1" t="s">
        <v>0</v>
      </c>
      <c r="G1" s="70" t="s">
        <v>1</v>
      </c>
      <c r="H1" s="71"/>
      <c r="I1" s="71"/>
      <c r="J1" s="71"/>
      <c r="K1" s="71"/>
      <c r="L1" s="1"/>
    </row>
    <row r="2" spans="6:12" ht="15" customHeight="1" x14ac:dyDescent="0.55000000000000004">
      <c r="F2" s="1"/>
      <c r="G2" s="71"/>
      <c r="H2" s="71"/>
      <c r="I2" s="71"/>
      <c r="J2" s="71"/>
      <c r="K2" s="71"/>
      <c r="L2" s="1"/>
    </row>
    <row r="3" spans="6:12" ht="15" customHeight="1" x14ac:dyDescent="0.55000000000000004">
      <c r="F3" s="1"/>
      <c r="G3" s="71"/>
      <c r="H3" s="71"/>
      <c r="I3" s="71"/>
      <c r="J3" s="71"/>
      <c r="K3" s="71"/>
      <c r="L3" s="1"/>
    </row>
    <row r="5" spans="6:12" ht="15.75" thickBot="1" x14ac:dyDescent="0.3"/>
    <row r="6" spans="6:12" ht="47.25" customHeight="1" thickBot="1" x14ac:dyDescent="0.3">
      <c r="H6" s="72" t="s">
        <v>2</v>
      </c>
      <c r="I6" s="73"/>
      <c r="J6" s="74"/>
    </row>
    <row r="7" spans="6:12" ht="17.25" thickTop="1" thickBot="1" x14ac:dyDescent="0.3">
      <c r="H7" s="11" t="s">
        <v>3</v>
      </c>
      <c r="I7" s="11" t="s">
        <v>4</v>
      </c>
      <c r="J7" s="11" t="s">
        <v>5</v>
      </c>
    </row>
    <row r="8" spans="6:12" ht="17.25" thickTop="1" thickBot="1" x14ac:dyDescent="0.3">
      <c r="H8" s="9">
        <v>2029</v>
      </c>
      <c r="I8" s="5">
        <f t="shared" ref="I8:I13" si="0">_xlfn.FORECAST.ETS(H8,I9:I17,H9:H17)</f>
        <v>119381578.26808831</v>
      </c>
    </row>
    <row r="9" spans="6:12" ht="16.5" thickBot="1" x14ac:dyDescent="0.3">
      <c r="H9" s="9">
        <v>2028</v>
      </c>
      <c r="I9" s="5">
        <f t="shared" si="0"/>
        <v>120047738.91603658</v>
      </c>
    </row>
    <row r="10" spans="6:12" ht="16.5" thickBot="1" x14ac:dyDescent="0.3">
      <c r="H10" s="9">
        <v>2027</v>
      </c>
      <c r="I10" s="5">
        <f t="shared" si="0"/>
        <v>120694778.5511578</v>
      </c>
    </row>
    <row r="11" spans="6:12" ht="16.5" thickBot="1" x14ac:dyDescent="0.3">
      <c r="H11" s="9">
        <v>2026</v>
      </c>
      <c r="I11" s="5">
        <f t="shared" si="0"/>
        <v>121323073.8543081</v>
      </c>
    </row>
    <row r="12" spans="6:12" ht="16.5" thickBot="1" x14ac:dyDescent="0.3">
      <c r="H12" s="10">
        <v>2025</v>
      </c>
      <c r="I12" s="5">
        <f t="shared" si="0"/>
        <v>121980247.46651056</v>
      </c>
    </row>
    <row r="13" spans="6:12" ht="16.5" thickBot="1" x14ac:dyDescent="0.3">
      <c r="H13" s="10">
        <v>2024</v>
      </c>
      <c r="I13" s="5">
        <f t="shared" si="0"/>
        <v>122637421.07826023</v>
      </c>
    </row>
    <row r="14" spans="6:12" ht="16.5" thickBot="1" x14ac:dyDescent="0.3">
      <c r="H14" s="3">
        <v>2023</v>
      </c>
      <c r="I14" s="5">
        <f>_xlfn.FORECAST.ETS(H14,I15:I23,H15:H23)</f>
        <v>123294594.68949959</v>
      </c>
      <c r="J14" s="7">
        <v>-5.3E-3</v>
      </c>
    </row>
    <row r="15" spans="6:12" ht="16.5" thickBot="1" x14ac:dyDescent="0.3">
      <c r="H15" s="4">
        <v>2022</v>
      </c>
      <c r="I15" s="6">
        <v>123951692</v>
      </c>
      <c r="J15" s="8">
        <v>-5.3E-3</v>
      </c>
    </row>
    <row r="16" spans="6:12" ht="16.5" thickBot="1" x14ac:dyDescent="0.3">
      <c r="H16" s="3">
        <v>2021</v>
      </c>
      <c r="I16" s="5">
        <v>124612530</v>
      </c>
      <c r="J16" s="7">
        <v>-5.0000000000000001E-3</v>
      </c>
    </row>
    <row r="17" spans="8:10" ht="16.5" thickBot="1" x14ac:dyDescent="0.3">
      <c r="H17" s="4">
        <v>2020</v>
      </c>
      <c r="I17" s="6">
        <v>125244761</v>
      </c>
      <c r="J17" s="8">
        <v>-4.3E-3</v>
      </c>
    </row>
    <row r="18" spans="8:10" ht="16.5" thickBot="1" x14ac:dyDescent="0.3">
      <c r="H18" s="3">
        <v>2019</v>
      </c>
      <c r="I18" s="5">
        <v>125791677</v>
      </c>
      <c r="J18" s="7">
        <v>-3.7000000000000002E-3</v>
      </c>
    </row>
    <row r="19" spans="8:10" ht="16.5" thickBot="1" x14ac:dyDescent="0.3">
      <c r="H19" s="4">
        <v>2018</v>
      </c>
      <c r="I19" s="6">
        <v>126255866</v>
      </c>
      <c r="J19" s="8">
        <v>-3.2000000000000002E-3</v>
      </c>
    </row>
    <row r="20" spans="8:10" ht="16.5" thickBot="1" x14ac:dyDescent="0.3">
      <c r="H20" s="3">
        <v>2017</v>
      </c>
      <c r="I20" s="5">
        <v>126662472</v>
      </c>
      <c r="J20" s="7">
        <v>-2.5999999999999999E-3</v>
      </c>
    </row>
    <row r="21" spans="8:10" ht="16.5" thickBot="1" x14ac:dyDescent="0.3">
      <c r="H21" s="4">
        <v>2016</v>
      </c>
      <c r="I21" s="6">
        <v>126993857</v>
      </c>
      <c r="J21" s="8">
        <v>-2E-3</v>
      </c>
    </row>
    <row r="22" spans="8:10" ht="16.5" thickBot="1" x14ac:dyDescent="0.3">
      <c r="H22" s="3">
        <v>2015</v>
      </c>
      <c r="I22" s="5">
        <v>127250933</v>
      </c>
      <c r="J22" s="7">
        <v>-1.8E-3</v>
      </c>
    </row>
    <row r="23" spans="8:10" ht="15.75" x14ac:dyDescent="0.25">
      <c r="H23" s="12">
        <v>2014</v>
      </c>
      <c r="I23" s="13">
        <v>127476735</v>
      </c>
      <c r="J23" s="14">
        <v>-1.6000000000000001E-3</v>
      </c>
    </row>
  </sheetData>
  <mergeCells count="2">
    <mergeCell ref="G1:K3"/>
    <mergeCell ref="H6:J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6858B-8C4A-42F7-917A-A3DA93737AAB}">
  <sheetPr codeName="Sheet4">
    <outlinePr summaryBelow="0"/>
  </sheetPr>
  <dimension ref="B1:F16"/>
  <sheetViews>
    <sheetView showGridLines="0" zoomScale="98" zoomScaleNormal="98" workbookViewId="0">
      <selection activeCell="J5" sqref="J5"/>
    </sheetView>
  </sheetViews>
  <sheetFormatPr defaultRowHeight="15" outlineLevelRow="1" outlineLevelCol="1" x14ac:dyDescent="0.25"/>
  <cols>
    <col min="3" max="3" width="6.28515625" bestFit="1" customWidth="1"/>
    <col min="4" max="6" width="13.140625" bestFit="1" customWidth="1" outlineLevel="1"/>
  </cols>
  <sheetData>
    <row r="1" spans="2:6" ht="15.75" thickBot="1" x14ac:dyDescent="0.3"/>
    <row r="2" spans="2:6" ht="15.75" x14ac:dyDescent="0.25">
      <c r="B2" s="25" t="s">
        <v>38</v>
      </c>
      <c r="C2" s="25"/>
      <c r="D2" s="30"/>
      <c r="E2" s="30"/>
      <c r="F2" s="30"/>
    </row>
    <row r="3" spans="2:6" ht="15.75" collapsed="1" x14ac:dyDescent="0.25">
      <c r="B3" s="24"/>
      <c r="C3" s="24"/>
      <c r="D3" s="31" t="s">
        <v>40</v>
      </c>
      <c r="E3" s="31" t="s">
        <v>35</v>
      </c>
      <c r="F3" s="31" t="s">
        <v>37</v>
      </c>
    </row>
    <row r="4" spans="2:6" ht="33.75" hidden="1" outlineLevel="1" x14ac:dyDescent="0.25">
      <c r="B4" s="27"/>
      <c r="C4" s="27"/>
      <c r="E4" s="33" t="s">
        <v>36</v>
      </c>
      <c r="F4" s="33" t="s">
        <v>36</v>
      </c>
    </row>
    <row r="5" spans="2:6" x14ac:dyDescent="0.25">
      <c r="B5" s="28" t="s">
        <v>39</v>
      </c>
      <c r="C5" s="28"/>
      <c r="D5" s="26"/>
      <c r="E5" s="26"/>
      <c r="F5" s="26"/>
    </row>
    <row r="6" spans="2:6" outlineLevel="1" x14ac:dyDescent="0.25">
      <c r="B6" s="27"/>
      <c r="C6" s="27" t="s">
        <v>28</v>
      </c>
      <c r="D6">
        <v>100000</v>
      </c>
      <c r="E6" s="32">
        <v>520000</v>
      </c>
      <c r="F6" s="32">
        <v>250000</v>
      </c>
    </row>
    <row r="7" spans="2:6" outlineLevel="1" x14ac:dyDescent="0.25">
      <c r="B7" s="27"/>
      <c r="C7" s="27" t="s">
        <v>29</v>
      </c>
      <c r="D7">
        <v>200000</v>
      </c>
      <c r="E7" s="32">
        <v>300000</v>
      </c>
      <c r="F7" s="32">
        <v>300000</v>
      </c>
    </row>
    <row r="8" spans="2:6" outlineLevel="1" x14ac:dyDescent="0.25">
      <c r="B8" s="27"/>
      <c r="C8" s="27" t="s">
        <v>30</v>
      </c>
      <c r="D8">
        <v>150000</v>
      </c>
      <c r="E8" s="32">
        <v>200000</v>
      </c>
      <c r="F8" s="32">
        <v>100000</v>
      </c>
    </row>
    <row r="9" spans="2:6" outlineLevel="1" x14ac:dyDescent="0.25">
      <c r="B9" s="27"/>
      <c r="C9" s="27" t="s">
        <v>31</v>
      </c>
      <c r="D9">
        <v>110000</v>
      </c>
      <c r="E9" s="32">
        <v>250000</v>
      </c>
      <c r="F9" s="32">
        <v>310000</v>
      </c>
    </row>
    <row r="10" spans="2:6" outlineLevel="1" x14ac:dyDescent="0.25">
      <c r="B10" s="27"/>
      <c r="C10" s="27" t="s">
        <v>32</v>
      </c>
      <c r="D10">
        <v>85000</v>
      </c>
      <c r="E10" s="32">
        <v>800000</v>
      </c>
      <c r="F10" s="32">
        <v>540000</v>
      </c>
    </row>
    <row r="11" spans="2:6" outlineLevel="1" x14ac:dyDescent="0.25">
      <c r="B11" s="27"/>
      <c r="C11" s="27" t="s">
        <v>33</v>
      </c>
      <c r="D11">
        <v>250000</v>
      </c>
      <c r="E11" s="32">
        <v>250000</v>
      </c>
      <c r="F11" s="32">
        <v>250000</v>
      </c>
    </row>
    <row r="12" spans="2:6" x14ac:dyDescent="0.25">
      <c r="B12" s="28" t="s">
        <v>41</v>
      </c>
      <c r="C12" s="28"/>
      <c r="D12" s="26"/>
      <c r="E12" s="26"/>
      <c r="F12" s="26"/>
    </row>
    <row r="13" spans="2:6" ht="15.75" outlineLevel="1" thickBot="1" x14ac:dyDescent="0.3">
      <c r="B13" s="29"/>
      <c r="C13" s="29" t="s">
        <v>34</v>
      </c>
      <c r="D13" s="23">
        <v>895000</v>
      </c>
      <c r="E13" s="23">
        <v>2320000</v>
      </c>
      <c r="F13" s="23">
        <v>1750000</v>
      </c>
    </row>
    <row r="14" spans="2:6" x14ac:dyDescent="0.25">
      <c r="B14" t="s">
        <v>42</v>
      </c>
    </row>
    <row r="15" spans="2:6" x14ac:dyDescent="0.25">
      <c r="B15" t="s">
        <v>43</v>
      </c>
    </row>
    <row r="16" spans="2:6" x14ac:dyDescent="0.25">
      <c r="B16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91DC1-13AB-4D50-B043-1D3B2B2136CE}">
  <sheetPr codeName="Sheet5"/>
  <dimension ref="B3:Z46"/>
  <sheetViews>
    <sheetView topLeftCell="H28" zoomScale="112" zoomScaleNormal="112" workbookViewId="0">
      <selection activeCell="O48" sqref="O48:O49"/>
    </sheetView>
  </sheetViews>
  <sheetFormatPr defaultRowHeight="15" x14ac:dyDescent="0.25"/>
  <cols>
    <col min="3" max="3" width="16.28515625" bestFit="1" customWidth="1"/>
    <col min="4" max="4" width="10.7109375" bestFit="1" customWidth="1"/>
    <col min="6" max="6" width="11.28515625" customWidth="1"/>
    <col min="7" max="7" width="8.28515625" customWidth="1"/>
    <col min="8" max="8" width="11" customWidth="1"/>
    <col min="9" max="9" width="10" bestFit="1" customWidth="1"/>
    <col min="10" max="13" width="9.28515625" bestFit="1" customWidth="1"/>
    <col min="18" max="18" width="10.85546875" bestFit="1" customWidth="1"/>
    <col min="19" max="19" width="10" bestFit="1" customWidth="1"/>
  </cols>
  <sheetData>
    <row r="3" spans="6:11" x14ac:dyDescent="0.25">
      <c r="H3" s="75" t="s">
        <v>9</v>
      </c>
      <c r="I3" s="75"/>
      <c r="J3" s="75"/>
    </row>
    <row r="4" spans="6:11" x14ac:dyDescent="0.25">
      <c r="H4" s="75"/>
      <c r="I4" s="75"/>
      <c r="J4" s="75"/>
    </row>
    <row r="6" spans="6:11" x14ac:dyDescent="0.25">
      <c r="F6" s="15" t="s">
        <v>10</v>
      </c>
      <c r="G6" s="15">
        <v>100000</v>
      </c>
      <c r="H6" s="15" t="s">
        <v>11</v>
      </c>
      <c r="I6" s="15">
        <v>24</v>
      </c>
      <c r="J6" s="15" t="s">
        <v>12</v>
      </c>
      <c r="K6" s="16">
        <v>0.08</v>
      </c>
    </row>
    <row r="8" spans="6:11" x14ac:dyDescent="0.25">
      <c r="G8" s="17" t="s">
        <v>13</v>
      </c>
      <c r="H8" s="17" t="s">
        <v>14</v>
      </c>
      <c r="I8" s="17" t="s">
        <v>15</v>
      </c>
      <c r="J8" s="17" t="s">
        <v>16</v>
      </c>
      <c r="K8" s="17" t="s">
        <v>17</v>
      </c>
    </row>
    <row r="9" spans="6:11" x14ac:dyDescent="0.25">
      <c r="F9" s="18"/>
      <c r="G9">
        <v>12</v>
      </c>
      <c r="H9">
        <v>24</v>
      </c>
      <c r="I9">
        <v>36</v>
      </c>
      <c r="J9">
        <v>48</v>
      </c>
      <c r="K9">
        <v>60</v>
      </c>
    </row>
    <row r="10" spans="6:11" x14ac:dyDescent="0.25">
      <c r="F10" s="18"/>
    </row>
    <row r="19" spans="2:26" x14ac:dyDescent="0.25">
      <c r="H19" s="19"/>
      <c r="I19" s="20"/>
      <c r="J19" s="20"/>
      <c r="K19" s="20"/>
      <c r="L19" s="20"/>
      <c r="M19" s="21"/>
    </row>
    <row r="20" spans="2:26" ht="15" customHeight="1" x14ac:dyDescent="0.45">
      <c r="H20" s="41"/>
      <c r="I20" s="43"/>
      <c r="J20" s="43"/>
      <c r="K20" s="43"/>
      <c r="L20" s="43"/>
      <c r="M20" s="42"/>
      <c r="Q20" s="78" t="s">
        <v>9</v>
      </c>
      <c r="R20" s="78"/>
      <c r="S20" s="78"/>
      <c r="T20" s="78"/>
      <c r="U20" s="78"/>
    </row>
    <row r="21" spans="2:26" ht="15" customHeight="1" x14ac:dyDescent="0.25">
      <c r="H21" s="80" t="s">
        <v>9</v>
      </c>
      <c r="I21" s="81"/>
      <c r="J21" s="81"/>
      <c r="K21" s="81"/>
      <c r="L21" s="81"/>
      <c r="M21" s="82"/>
      <c r="Q21" s="78"/>
      <c r="R21" s="78"/>
      <c r="S21" s="78"/>
      <c r="T21" s="78"/>
      <c r="U21" s="78"/>
    </row>
    <row r="22" spans="2:26" x14ac:dyDescent="0.25">
      <c r="H22" s="83"/>
      <c r="I22" s="84"/>
      <c r="J22" s="84"/>
      <c r="K22" s="84"/>
      <c r="L22" s="84"/>
      <c r="M22" s="85"/>
      <c r="Q22" s="44" t="s">
        <v>18</v>
      </c>
      <c r="R22" s="44" t="s">
        <v>46</v>
      </c>
      <c r="S22" s="44" t="s">
        <v>47</v>
      </c>
      <c r="T22" s="44" t="s">
        <v>48</v>
      </c>
      <c r="U22" s="44" t="s">
        <v>49</v>
      </c>
    </row>
    <row r="23" spans="2:26" x14ac:dyDescent="0.25">
      <c r="H23" s="35" t="s">
        <v>10</v>
      </c>
      <c r="I23" s="35">
        <v>100000</v>
      </c>
      <c r="J23" s="35" t="s">
        <v>11</v>
      </c>
      <c r="K23" s="35">
        <v>24</v>
      </c>
      <c r="L23" s="35" t="s">
        <v>12</v>
      </c>
      <c r="M23" s="36">
        <v>0.08</v>
      </c>
      <c r="Q23" s="22">
        <v>1</v>
      </c>
      <c r="R23" s="22" t="s">
        <v>50</v>
      </c>
      <c r="S23" s="22">
        <v>4</v>
      </c>
      <c r="T23" s="22">
        <v>50000</v>
      </c>
      <c r="U23" s="22">
        <f>S23*T23</f>
        <v>200000</v>
      </c>
    </row>
    <row r="24" spans="2:26" x14ac:dyDescent="0.25">
      <c r="B24" t="s">
        <v>45</v>
      </c>
      <c r="D24" s="39">
        <f ca="1">TODAY()</f>
        <v>45252</v>
      </c>
      <c r="H24" s="22"/>
      <c r="I24" s="22"/>
      <c r="J24" s="22"/>
      <c r="K24" s="22"/>
      <c r="L24" s="22"/>
      <c r="M24" s="22"/>
      <c r="Q24" s="22">
        <v>2</v>
      </c>
      <c r="R24" s="22" t="s">
        <v>54</v>
      </c>
      <c r="S24" s="22">
        <v>2</v>
      </c>
      <c r="T24" s="22">
        <v>40000</v>
      </c>
      <c r="U24" s="22">
        <f t="shared" ref="U24:U27" si="0">S24*T24</f>
        <v>80000</v>
      </c>
    </row>
    <row r="25" spans="2:26" x14ac:dyDescent="0.25">
      <c r="B25" s="34" t="s">
        <v>18</v>
      </c>
      <c r="C25" s="34" t="s">
        <v>19</v>
      </c>
      <c r="D25" s="34" t="s">
        <v>26</v>
      </c>
      <c r="H25" s="22"/>
      <c r="I25" s="37" t="s">
        <v>13</v>
      </c>
      <c r="J25" s="37" t="s">
        <v>14</v>
      </c>
      <c r="K25" s="37" t="s">
        <v>15</v>
      </c>
      <c r="L25" s="37" t="s">
        <v>16</v>
      </c>
      <c r="M25" s="37" t="s">
        <v>17</v>
      </c>
      <c r="Q25" s="22">
        <v>3</v>
      </c>
      <c r="R25" s="22" t="s">
        <v>51</v>
      </c>
      <c r="S25" s="22">
        <v>4</v>
      </c>
      <c r="T25" s="22">
        <v>60000</v>
      </c>
      <c r="U25" s="22">
        <f t="shared" si="0"/>
        <v>240000</v>
      </c>
    </row>
    <row r="26" spans="2:26" x14ac:dyDescent="0.25">
      <c r="B26" s="40">
        <v>1</v>
      </c>
      <c r="C26" s="40" t="s">
        <v>20</v>
      </c>
      <c r="D26" s="40">
        <v>100000</v>
      </c>
      <c r="H26" s="38">
        <f>-PMT(M23/12,K23,I23)</f>
        <v>4522.7291456184148</v>
      </c>
      <c r="I26" s="38">
        <v>12</v>
      </c>
      <c r="J26" s="38">
        <v>24</v>
      </c>
      <c r="K26" s="38">
        <v>36</v>
      </c>
      <c r="L26" s="38">
        <v>48</v>
      </c>
      <c r="M26" s="38">
        <v>60</v>
      </c>
      <c r="Q26" s="22">
        <v>4</v>
      </c>
      <c r="R26" s="22" t="s">
        <v>52</v>
      </c>
      <c r="S26" s="22">
        <v>1</v>
      </c>
      <c r="T26" s="22">
        <v>50000</v>
      </c>
      <c r="U26" s="22">
        <f t="shared" si="0"/>
        <v>50000</v>
      </c>
    </row>
    <row r="27" spans="2:26" x14ac:dyDescent="0.25">
      <c r="B27" s="40">
        <v>2</v>
      </c>
      <c r="C27" s="40" t="s">
        <v>21</v>
      </c>
      <c r="D27" s="40">
        <v>200000</v>
      </c>
      <c r="H27" s="38">
        <v>50000</v>
      </c>
      <c r="I27" s="38">
        <f t="dataTable" ref="I27:M31" dt2D="1" dtr="1" r1="K23" r2="I23"/>
        <v>4349.4214542710533</v>
      </c>
      <c r="J27" s="38">
        <v>2261.3645728092074</v>
      </c>
      <c r="K27" s="38">
        <v>1566.8182730715423</v>
      </c>
      <c r="L27" s="38">
        <v>1220.646117075124</v>
      </c>
      <c r="M27" s="38">
        <v>1013.8197144206841</v>
      </c>
      <c r="Q27" s="22">
        <v>5</v>
      </c>
      <c r="R27" s="22" t="s">
        <v>53</v>
      </c>
      <c r="S27" s="22">
        <v>4</v>
      </c>
      <c r="T27" s="22">
        <v>10000</v>
      </c>
      <c r="U27" s="22">
        <f t="shared" si="0"/>
        <v>40000</v>
      </c>
    </row>
    <row r="28" spans="2:26" x14ac:dyDescent="0.25">
      <c r="B28" s="40">
        <v>3</v>
      </c>
      <c r="C28" s="40" t="s">
        <v>22</v>
      </c>
      <c r="D28" s="40">
        <v>150000</v>
      </c>
      <c r="H28" s="38">
        <v>75000</v>
      </c>
      <c r="I28" s="38">
        <v>6524.1321814065795</v>
      </c>
      <c r="J28" s="38">
        <v>3392.0468592138113</v>
      </c>
      <c r="K28" s="38">
        <v>2350.2274096073138</v>
      </c>
      <c r="L28" s="38">
        <v>1830.9691756126863</v>
      </c>
      <c r="M28" s="38">
        <v>1520.7295716310261</v>
      </c>
      <c r="R28" s="77" t="s">
        <v>55</v>
      </c>
      <c r="S28" s="77"/>
    </row>
    <row r="29" spans="2:26" x14ac:dyDescent="0.25">
      <c r="B29" s="40">
        <v>4</v>
      </c>
      <c r="C29" s="40" t="s">
        <v>23</v>
      </c>
      <c r="D29" s="40">
        <v>110000</v>
      </c>
      <c r="H29" s="38">
        <v>100000</v>
      </c>
      <c r="I29" s="38">
        <v>8698.8429085421067</v>
      </c>
      <c r="J29" s="38">
        <v>4522.7291456184148</v>
      </c>
      <c r="K29" s="38">
        <v>3133.6365461430846</v>
      </c>
      <c r="L29" s="38">
        <v>2441.2922341502481</v>
      </c>
      <c r="M29" s="38">
        <v>2027.6394288413683</v>
      </c>
      <c r="R29" s="22" t="s">
        <v>46</v>
      </c>
      <c r="S29" s="22" t="s">
        <v>47</v>
      </c>
    </row>
    <row r="30" spans="2:26" x14ac:dyDescent="0.25">
      <c r="B30" s="40">
        <v>5</v>
      </c>
      <c r="C30" s="40" t="s">
        <v>24</v>
      </c>
      <c r="D30" s="40">
        <v>85000</v>
      </c>
      <c r="H30" s="38">
        <v>175000</v>
      </c>
      <c r="I30" s="38">
        <v>15222.975089948688</v>
      </c>
      <c r="J30" s="38">
        <v>7914.7760048322261</v>
      </c>
      <c r="K30" s="38">
        <v>5483.8639557503993</v>
      </c>
      <c r="L30" s="38">
        <v>4272.2614097629339</v>
      </c>
      <c r="M30" s="38">
        <v>3548.369000472394</v>
      </c>
      <c r="R30" s="22" t="s">
        <v>53</v>
      </c>
      <c r="S30" s="22">
        <f>DSUM(Q22:U27,T22,R29:R30)</f>
        <v>10000</v>
      </c>
    </row>
    <row r="31" spans="2:26" x14ac:dyDescent="0.25">
      <c r="B31" s="40">
        <v>6</v>
      </c>
      <c r="C31" s="40" t="s">
        <v>25</v>
      </c>
      <c r="D31" s="40">
        <v>250000</v>
      </c>
      <c r="H31" s="38">
        <v>200000</v>
      </c>
      <c r="I31" s="38">
        <v>17397.685817084213</v>
      </c>
      <c r="J31" s="38">
        <v>9045.4582912368296</v>
      </c>
      <c r="K31" s="38">
        <v>6267.2730922861692</v>
      </c>
      <c r="L31" s="38">
        <v>4882.5844683004962</v>
      </c>
      <c r="M31" s="38">
        <v>4055.2788576827365</v>
      </c>
      <c r="V31" s="44" t="s">
        <v>18</v>
      </c>
      <c r="W31" s="44" t="s">
        <v>46</v>
      </c>
      <c r="X31" s="44" t="s">
        <v>47</v>
      </c>
      <c r="Y31" s="44" t="s">
        <v>48</v>
      </c>
      <c r="Z31" s="44" t="s">
        <v>49</v>
      </c>
    </row>
    <row r="32" spans="2:26" x14ac:dyDescent="0.25">
      <c r="B32" s="76" t="s">
        <v>27</v>
      </c>
      <c r="C32" s="76"/>
      <c r="D32" s="40">
        <f>SUM(D26:D31)</f>
        <v>895000</v>
      </c>
      <c r="R32" s="77" t="s">
        <v>56</v>
      </c>
      <c r="S32" s="77"/>
      <c r="V32">
        <v>4</v>
      </c>
      <c r="W32" t="str">
        <f>DGET(Q22:U27,R22,V31:V32)</f>
        <v>FREEZE</v>
      </c>
      <c r="X32">
        <f t="shared" ref="X32" si="1">DGET(R22:V27,S22,W31:W32)</f>
        <v>1</v>
      </c>
      <c r="Y32">
        <f>DGET(Q22:U27,T22,V31:V32)</f>
        <v>50000</v>
      </c>
      <c r="Z32">
        <f>DGET(R22:V27,U22,W31:W32)</f>
        <v>50000</v>
      </c>
    </row>
    <row r="33" spans="18:19" x14ac:dyDescent="0.25">
      <c r="R33" s="22" t="s">
        <v>46</v>
      </c>
      <c r="S33" s="22" t="s">
        <v>47</v>
      </c>
    </row>
    <row r="34" spans="18:19" x14ac:dyDescent="0.25">
      <c r="R34" s="22" t="s">
        <v>51</v>
      </c>
      <c r="S34" s="22">
        <f>DCOUNT(Q22:U27,Q22,R33:R34)</f>
        <v>1</v>
      </c>
    </row>
    <row r="36" spans="18:19" x14ac:dyDescent="0.25">
      <c r="R36" s="77" t="s">
        <v>57</v>
      </c>
      <c r="S36" s="77"/>
    </row>
    <row r="37" spans="18:19" x14ac:dyDescent="0.25">
      <c r="R37" s="22" t="s">
        <v>46</v>
      </c>
      <c r="S37" s="22" t="s">
        <v>47</v>
      </c>
    </row>
    <row r="38" spans="18:19" x14ac:dyDescent="0.25">
      <c r="R38" s="22" t="s">
        <v>51</v>
      </c>
      <c r="S38" s="22">
        <f>DMAX(Q22:U27,U22,R37:R38)</f>
        <v>240000</v>
      </c>
    </row>
    <row r="40" spans="18:19" x14ac:dyDescent="0.25">
      <c r="R40" s="77" t="s">
        <v>58</v>
      </c>
      <c r="S40" s="77"/>
    </row>
    <row r="41" spans="18:19" x14ac:dyDescent="0.25">
      <c r="R41" s="22" t="s">
        <v>46</v>
      </c>
      <c r="S41" s="22" t="s">
        <v>47</v>
      </c>
    </row>
    <row r="42" spans="18:19" x14ac:dyDescent="0.25">
      <c r="R42" s="22"/>
      <c r="S42" s="22">
        <f>DAVERAGE(Q22:U27,T22,R41:R42)</f>
        <v>42000</v>
      </c>
    </row>
    <row r="44" spans="18:19" x14ac:dyDescent="0.25">
      <c r="R44" s="79" t="s">
        <v>59</v>
      </c>
      <c r="S44" s="79"/>
    </row>
    <row r="45" spans="18:19" x14ac:dyDescent="0.25">
      <c r="R45" s="45" t="s">
        <v>46</v>
      </c>
      <c r="S45" s="22" t="s">
        <v>47</v>
      </c>
    </row>
    <row r="46" spans="18:19" x14ac:dyDescent="0.25">
      <c r="R46" s="22" t="s">
        <v>50</v>
      </c>
      <c r="S46" s="22">
        <f>DMIN(Q22:U27,T22,R45:R46)</f>
        <v>50000</v>
      </c>
    </row>
  </sheetData>
  <scenarios current="0" sqref="D32">
    <scenario name="DEC" locked="1" count="6" user="Literacy India" comment="Created by Literacy India on 16-11-2023">
      <inputCells r="D26" val="520000"/>
      <inputCells r="D27" val="300000"/>
      <inputCells r="D28" val="200000"/>
      <inputCells r="D29" val="250000"/>
      <inputCells r="D30" val="800000"/>
      <inputCells r="D31" val="250000"/>
    </scenario>
    <scenario name="JAN" locked="1" count="6" user="Literacy India" comment="Created by Literacy India on 16-11-2023">
      <inputCells r="D26" val="250000"/>
      <inputCells r="D27" val="300000"/>
      <inputCells r="D28" val="100000"/>
      <inputCells r="D29" val="310000"/>
      <inputCells r="D30" val="540000"/>
      <inputCells r="D31" val="250000"/>
    </scenario>
  </scenarios>
  <mergeCells count="9">
    <mergeCell ref="R44:S44"/>
    <mergeCell ref="H21:M22"/>
    <mergeCell ref="H3:J4"/>
    <mergeCell ref="B32:C32"/>
    <mergeCell ref="R32:S32"/>
    <mergeCell ref="R36:S36"/>
    <mergeCell ref="R40:S40"/>
    <mergeCell ref="Q20:U21"/>
    <mergeCell ref="R28:S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D82C0-2B7F-4985-BACD-5D009E8DAD6A}">
  <sheetPr codeName="Sheet3"/>
  <dimension ref="B1:J14"/>
  <sheetViews>
    <sheetView zoomScale="80" zoomScaleNormal="80" workbookViewId="0">
      <selection activeCell="G10" sqref="G10"/>
    </sheetView>
  </sheetViews>
  <sheetFormatPr defaultRowHeight="15" x14ac:dyDescent="0.25"/>
  <cols>
    <col min="2" max="2" width="17.85546875" customWidth="1"/>
    <col min="3" max="3" width="6.28515625" customWidth="1"/>
    <col min="4" max="4" width="52.7109375" customWidth="1"/>
    <col min="5" max="5" width="6.140625" customWidth="1"/>
    <col min="6" max="6" width="4.28515625" customWidth="1"/>
    <col min="7" max="7" width="17.5703125" bestFit="1" customWidth="1"/>
    <col min="8" max="8" width="5.85546875" customWidth="1"/>
    <col min="9" max="9" width="50.28515625" customWidth="1"/>
    <col min="10" max="10" width="7.28515625" customWidth="1"/>
  </cols>
  <sheetData>
    <row r="1" spans="2:10" ht="15.75" thickBot="1" x14ac:dyDescent="0.3"/>
    <row r="2" spans="2:10" ht="30" customHeight="1" thickBot="1" x14ac:dyDescent="0.3">
      <c r="B2" s="46" t="s">
        <v>60</v>
      </c>
      <c r="C2" s="47" t="s">
        <v>67</v>
      </c>
      <c r="D2" s="61"/>
      <c r="E2" s="48" t="s">
        <v>70</v>
      </c>
      <c r="F2" s="49"/>
      <c r="G2" s="50" t="s">
        <v>68</v>
      </c>
      <c r="H2" s="47" t="s">
        <v>67</v>
      </c>
      <c r="I2" s="61"/>
      <c r="J2" s="51" t="s">
        <v>70</v>
      </c>
    </row>
    <row r="3" spans="2:10" ht="6" customHeight="1" thickBot="1" x14ac:dyDescent="0.3">
      <c r="B3" s="52"/>
      <c r="C3" s="64"/>
      <c r="D3" s="63"/>
      <c r="E3" s="65" t="s">
        <v>70</v>
      </c>
      <c r="F3" s="63"/>
      <c r="G3" s="63"/>
      <c r="H3" s="63"/>
      <c r="I3" s="63"/>
      <c r="J3" s="53" t="s">
        <v>70</v>
      </c>
    </row>
    <row r="4" spans="2:10" ht="30.75" customHeight="1" thickBot="1" x14ac:dyDescent="0.3">
      <c r="B4" s="54" t="s">
        <v>61</v>
      </c>
      <c r="C4" s="64" t="s">
        <v>67</v>
      </c>
      <c r="D4" s="61"/>
      <c r="E4" s="65" t="s">
        <v>70</v>
      </c>
      <c r="F4" s="63"/>
      <c r="G4" s="66" t="s">
        <v>69</v>
      </c>
      <c r="H4" s="64" t="s">
        <v>67</v>
      </c>
      <c r="I4" s="61"/>
      <c r="J4" s="53" t="s">
        <v>70</v>
      </c>
    </row>
    <row r="5" spans="2:10" ht="6.75" customHeight="1" thickBot="1" x14ac:dyDescent="0.3">
      <c r="B5" s="52"/>
      <c r="C5" s="64"/>
      <c r="D5" s="63"/>
      <c r="E5" s="65" t="s">
        <v>70</v>
      </c>
      <c r="F5" s="63"/>
      <c r="G5" s="63"/>
      <c r="H5" s="63"/>
      <c r="I5" s="63"/>
      <c r="J5" s="55"/>
    </row>
    <row r="6" spans="2:10" ht="26.25" customHeight="1" thickBot="1" x14ac:dyDescent="0.4">
      <c r="B6" s="54" t="s">
        <v>62</v>
      </c>
      <c r="C6" s="64" t="s">
        <v>67</v>
      </c>
      <c r="D6" s="68" t="s">
        <v>82</v>
      </c>
      <c r="E6" s="65" t="s">
        <v>70</v>
      </c>
      <c r="F6" s="63"/>
      <c r="G6" s="63"/>
      <c r="H6" s="63"/>
      <c r="I6" s="63"/>
      <c r="J6" s="55"/>
    </row>
    <row r="7" spans="2:10" ht="6" customHeight="1" thickBot="1" x14ac:dyDescent="0.3">
      <c r="B7" s="52"/>
      <c r="C7" s="64"/>
      <c r="D7" s="63"/>
      <c r="E7" s="65" t="s">
        <v>70</v>
      </c>
      <c r="F7" s="63"/>
      <c r="G7" s="63"/>
      <c r="H7" s="63"/>
      <c r="I7" s="63"/>
      <c r="J7" s="55"/>
    </row>
    <row r="8" spans="2:10" ht="30.75" customHeight="1" thickBot="1" x14ac:dyDescent="0.3">
      <c r="B8" s="54" t="s">
        <v>63</v>
      </c>
      <c r="C8" s="64" t="s">
        <v>67</v>
      </c>
      <c r="D8" s="62" t="s">
        <v>83</v>
      </c>
      <c r="E8" s="65"/>
      <c r="F8" s="63"/>
      <c r="G8" s="63"/>
      <c r="H8" s="63"/>
      <c r="I8" s="63"/>
      <c r="J8" s="55"/>
    </row>
    <row r="9" spans="2:10" ht="4.5" customHeight="1" thickBot="1" x14ac:dyDescent="0.3">
      <c r="B9" s="52"/>
      <c r="C9" s="64"/>
      <c r="D9" s="63"/>
      <c r="E9" s="65" t="s">
        <v>70</v>
      </c>
      <c r="F9" s="63"/>
      <c r="G9" s="63"/>
      <c r="H9" s="63"/>
      <c r="I9" s="63"/>
      <c r="J9" s="55"/>
    </row>
    <row r="10" spans="2:10" ht="28.5" customHeight="1" thickBot="1" x14ac:dyDescent="0.3">
      <c r="B10" s="54" t="s">
        <v>64</v>
      </c>
      <c r="C10" s="64" t="s">
        <v>67</v>
      </c>
      <c r="D10" s="61"/>
      <c r="E10" s="65" t="s">
        <v>70</v>
      </c>
      <c r="F10" s="63"/>
      <c r="G10" s="63"/>
      <c r="H10" s="63"/>
      <c r="I10" s="63"/>
      <c r="J10" s="67"/>
    </row>
    <row r="11" spans="2:10" ht="6" customHeight="1" thickBot="1" x14ac:dyDescent="0.3">
      <c r="B11" s="52"/>
      <c r="C11" s="64"/>
      <c r="D11" s="63"/>
      <c r="E11" s="65" t="s">
        <v>70</v>
      </c>
      <c r="F11" s="63"/>
      <c r="G11" s="63"/>
      <c r="H11" s="63"/>
      <c r="I11" s="63"/>
      <c r="J11" s="55"/>
    </row>
    <row r="12" spans="2:10" ht="27" customHeight="1" thickBot="1" x14ac:dyDescent="0.3">
      <c r="B12" s="54" t="s">
        <v>65</v>
      </c>
      <c r="C12" s="64" t="s">
        <v>67</v>
      </c>
      <c r="D12" s="61"/>
      <c r="E12" s="65" t="s">
        <v>70</v>
      </c>
      <c r="F12" s="63"/>
      <c r="G12" s="63"/>
      <c r="H12" s="63"/>
      <c r="I12" s="63"/>
      <c r="J12" s="55"/>
    </row>
    <row r="13" spans="2:10" ht="6.75" customHeight="1" thickBot="1" x14ac:dyDescent="0.3">
      <c r="B13" s="52"/>
      <c r="C13" s="64"/>
      <c r="D13" s="63"/>
      <c r="E13" s="65" t="s">
        <v>70</v>
      </c>
      <c r="F13" s="63"/>
      <c r="G13" s="63"/>
      <c r="H13" s="63"/>
      <c r="I13" s="63"/>
      <c r="J13" s="55"/>
    </row>
    <row r="14" spans="2:10" ht="27.75" customHeight="1" thickBot="1" x14ac:dyDescent="0.3">
      <c r="B14" s="56" t="s">
        <v>66</v>
      </c>
      <c r="C14" s="57" t="s">
        <v>67</v>
      </c>
      <c r="D14" s="61"/>
      <c r="E14" s="58" t="s">
        <v>70</v>
      </c>
      <c r="F14" s="59"/>
      <c r="G14" s="59"/>
      <c r="H14" s="59"/>
      <c r="I14" s="59"/>
      <c r="J14" s="6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Option Button 3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66675</xdr:rowOff>
                  </from>
                  <to>
                    <xdr:col>3</xdr:col>
                    <xdr:colOff>1304925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Option Button 4">
              <controlPr defaultSize="0" autoFill="0" autoLine="0" autoPict="0">
                <anchor moveWithCells="1">
                  <from>
                    <xdr:col>3</xdr:col>
                    <xdr:colOff>2143125</xdr:colOff>
                    <xdr:row>5</xdr:row>
                    <xdr:rowOff>38100</xdr:rowOff>
                  </from>
                  <to>
                    <xdr:col>3</xdr:col>
                    <xdr:colOff>3324225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Check Box 5">
              <controlPr defaultSize="0" autoFill="0" autoLine="0" autoPict="0">
                <anchor moveWithCells="1">
                  <from>
                    <xdr:col>4</xdr:col>
                    <xdr:colOff>47625</xdr:colOff>
                    <xdr:row>6</xdr:row>
                    <xdr:rowOff>66675</xdr:rowOff>
                  </from>
                  <to>
                    <xdr:col>5</xdr:col>
                    <xdr:colOff>85725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5305D-4B71-4940-8F8E-C9B0638C966A}">
  <dimension ref="A1:S7"/>
  <sheetViews>
    <sheetView workbookViewId="0">
      <selection activeCell="E5" sqref="E5"/>
    </sheetView>
  </sheetViews>
  <sheetFormatPr defaultRowHeight="15" x14ac:dyDescent="0.25"/>
  <cols>
    <col min="1" max="1" width="21" customWidth="1"/>
    <col min="2" max="2" width="39.5703125" customWidth="1"/>
    <col min="18" max="19" width="9.140625" hidden="1" customWidth="1"/>
  </cols>
  <sheetData>
    <row r="1" spans="1:2" ht="36.75" customHeight="1" x14ac:dyDescent="0.25">
      <c r="A1" s="86" t="s">
        <v>84</v>
      </c>
      <c r="B1" s="86"/>
    </row>
    <row r="2" spans="1:2" ht="33" customHeight="1" x14ac:dyDescent="0.25">
      <c r="A2" s="69" t="s">
        <v>85</v>
      </c>
      <c r="B2" s="69"/>
    </row>
    <row r="3" spans="1:2" ht="26.25" customHeight="1" x14ac:dyDescent="0.25">
      <c r="A3" s="69" t="s">
        <v>86</v>
      </c>
      <c r="B3" s="69"/>
    </row>
    <row r="4" spans="1:2" ht="25.5" customHeight="1" x14ac:dyDescent="0.25">
      <c r="A4" s="69" t="s">
        <v>87</v>
      </c>
      <c r="B4" s="69"/>
    </row>
    <row r="5" spans="1:2" ht="31.5" customHeight="1" x14ac:dyDescent="0.25">
      <c r="A5" s="69" t="s">
        <v>61</v>
      </c>
      <c r="B5" s="69"/>
    </row>
    <row r="6" spans="1:2" ht="32.25" customHeight="1" x14ac:dyDescent="0.25">
      <c r="A6" s="69" t="s">
        <v>88</v>
      </c>
      <c r="B6" s="69"/>
    </row>
    <row r="7" spans="1:2" ht="33" customHeight="1" x14ac:dyDescent="0.25">
      <c r="A7" s="69" t="s">
        <v>66</v>
      </c>
      <c r="B7" s="69"/>
    </row>
  </sheetData>
  <mergeCells count="1">
    <mergeCell ref="A1:B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957B2-532F-45C3-8A2A-F96BEA79D3E8}">
  <dimension ref="A1:F4"/>
  <sheetViews>
    <sheetView tabSelected="1" workbookViewId="0">
      <selection activeCell="I12" sqref="I12"/>
    </sheetView>
  </sheetViews>
  <sheetFormatPr defaultRowHeight="15" x14ac:dyDescent="0.25"/>
  <cols>
    <col min="1" max="1" width="17.5703125" customWidth="1"/>
    <col min="2" max="2" width="16" customWidth="1"/>
    <col min="3" max="3" width="13.42578125" customWidth="1"/>
    <col min="4" max="4" width="24.7109375" customWidth="1"/>
    <col min="5" max="5" width="24.85546875" customWidth="1"/>
    <col min="6" max="6" width="22.7109375" customWidth="1"/>
  </cols>
  <sheetData>
    <row r="1" spans="1:6" ht="18.75" x14ac:dyDescent="0.25">
      <c r="A1" s="69" t="s">
        <v>85</v>
      </c>
      <c r="B1" s="69" t="s">
        <v>86</v>
      </c>
      <c r="C1" s="69" t="s">
        <v>87</v>
      </c>
      <c r="D1" s="69" t="s">
        <v>61</v>
      </c>
      <c r="E1" s="69" t="s">
        <v>88</v>
      </c>
      <c r="F1" s="69" t="s">
        <v>66</v>
      </c>
    </row>
    <row r="2" spans="1:6" ht="18.75" x14ac:dyDescent="0.25">
      <c r="A2" s="69" t="s">
        <v>89</v>
      </c>
      <c r="B2" s="69">
        <v>12</v>
      </c>
      <c r="C2" s="69">
        <v>14</v>
      </c>
      <c r="D2" s="69" t="s">
        <v>90</v>
      </c>
      <c r="E2" s="69" t="s">
        <v>91</v>
      </c>
      <c r="F2" s="69">
        <v>7856432909</v>
      </c>
    </row>
    <row r="3" spans="1:6" ht="18.75" x14ac:dyDescent="0.25">
      <c r="A3" s="69" t="s">
        <v>77</v>
      </c>
      <c r="B3" s="69">
        <v>12</v>
      </c>
      <c r="C3" s="69">
        <v>13</v>
      </c>
      <c r="D3" s="69" t="s">
        <v>92</v>
      </c>
      <c r="E3" s="69" t="s">
        <v>93</v>
      </c>
      <c r="F3" s="69">
        <v>7564894655</v>
      </c>
    </row>
    <row r="4" spans="1:6" ht="18.75" x14ac:dyDescent="0.25">
      <c r="A4" s="69" t="s">
        <v>94</v>
      </c>
      <c r="B4" s="69">
        <v>12</v>
      </c>
      <c r="C4" s="69">
        <v>24</v>
      </c>
      <c r="D4" s="69" t="s">
        <v>95</v>
      </c>
      <c r="E4" s="69" t="s">
        <v>96</v>
      </c>
      <c r="F4" s="69">
        <v>9876543210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7444-E3A8-4A91-9B5A-9DD52A47AB0A}">
  <sheetPr codeName="Sheet6"/>
  <dimension ref="A1:G6"/>
  <sheetViews>
    <sheetView workbookViewId="0">
      <selection activeCell="A7" sqref="A7"/>
    </sheetView>
  </sheetViews>
  <sheetFormatPr defaultRowHeight="15" x14ac:dyDescent="0.25"/>
  <cols>
    <col min="1" max="1" width="13.42578125" bestFit="1" customWidth="1"/>
    <col min="2" max="2" width="11.85546875" bestFit="1" customWidth="1"/>
  </cols>
  <sheetData>
    <row r="1" spans="1:7" x14ac:dyDescent="0.25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65</v>
      </c>
      <c r="G1" t="s">
        <v>76</v>
      </c>
    </row>
    <row r="2" spans="1:7" x14ac:dyDescent="0.25">
      <c r="A2" t="s">
        <v>77</v>
      </c>
    </row>
    <row r="3" spans="1:7" x14ac:dyDescent="0.25">
      <c r="A3" t="s">
        <v>78</v>
      </c>
    </row>
    <row r="4" spans="1:7" x14ac:dyDescent="0.25">
      <c r="A4" t="s">
        <v>79</v>
      </c>
    </row>
    <row r="5" spans="1:7" x14ac:dyDescent="0.25">
      <c r="A5" t="s">
        <v>80</v>
      </c>
    </row>
    <row r="6" spans="1:7" x14ac:dyDescent="0.25">
      <c r="A6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Sheet1</vt:lpstr>
      <vt:lpstr>Scenario Summary</vt:lpstr>
      <vt:lpstr>Sheet3</vt:lpstr>
      <vt:lpstr>Sheet4</vt:lpstr>
      <vt:lpstr>Sheet6</vt:lpstr>
      <vt:lpstr>Sheet7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Literacy India</dc:creator>
  <cp:lastModifiedBy>Literacy India</cp:lastModifiedBy>
  <dcterms:created xsi:type="dcterms:W3CDTF">2023-11-09T04:38:32Z</dcterms:created>
  <dcterms:modified xsi:type="dcterms:W3CDTF">2023-11-22T05:31:37Z</dcterms:modified>
</cp:coreProperties>
</file>